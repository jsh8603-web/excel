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(0.0%)"/>
    <numFmt numFmtId="165" formatCode="#,##0;(#,##0)"/>
    <numFmt numFmtId="166" formatCode="#,##0.00;(#,##0.00)"/>
    <numFmt numFmtId="167" formatCode="#,##0.0;(#,##0.0)"/>
  </numFmts>
  <fonts count="8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2E5A87"/>
      <sz val="11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FFFFFF"/>
      <sz val="9"/>
    </font>
    <font>
      <name val="맑은 고딕"/>
      <b val="1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투자 타당성 분석 (골든샘플)</t>
        </is>
      </c>
    </row>
    <row r="2">
      <c r="A2" s="2" t="inlineStr">
        <is>
          <t>구조 검증용 — 수치는 더미</t>
        </is>
      </c>
    </row>
    <row r="3"/>
    <row r="4">
      <c r="A4" s="3" t="inlineStr">
        <is>
          <t>가정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할인율 (단위: ₩mn)</t>
        </is>
      </c>
      <c r="B5" s="6" t="n">
        <v>0.1</v>
      </c>
    </row>
    <row r="6"/>
    <row r="7">
      <c r="A7" s="7" t="inlineStr">
        <is>
          <t>연도</t>
        </is>
      </c>
      <c r="B7" s="8" t="inlineStr">
        <is>
          <t>t0</t>
        </is>
      </c>
      <c r="C7" s="8" t="inlineStr">
        <is>
          <t>t1</t>
        </is>
      </c>
      <c r="D7" s="8" t="inlineStr">
        <is>
          <t>t2</t>
        </is>
      </c>
      <c r="E7" s="8" t="inlineStr">
        <is>
          <t>t3</t>
        </is>
      </c>
      <c r="F7" s="8" t="inlineStr">
        <is>
          <t>t4</t>
        </is>
      </c>
      <c r="G7" s="8" t="inlineStr">
        <is>
          <t>t5</t>
        </is>
      </c>
    </row>
    <row r="8">
      <c r="A8" s="5" t="inlineStr">
        <is>
          <t>현금흐름</t>
        </is>
      </c>
      <c r="B8" s="9" t="n">
        <v>-1000</v>
      </c>
      <c r="C8" s="9" t="n">
        <v>300</v>
      </c>
      <c r="D8" s="9" t="n">
        <v>350</v>
      </c>
      <c r="E8" s="9" t="n">
        <v>400</v>
      </c>
      <c r="F8" s="9" t="n">
        <v>450</v>
      </c>
      <c r="G8" s="9" t="n">
        <v>300</v>
      </c>
    </row>
    <row r="9">
      <c r="A9" s="5" t="inlineStr">
        <is>
          <t>할인계수</t>
        </is>
      </c>
      <c r="B9" s="10">
        <f>1/(1+$B5)^0</f>
        <v/>
      </c>
      <c r="C9" s="10">
        <f>1/(1+$B5)^1</f>
        <v/>
      </c>
      <c r="D9" s="10">
        <f>1/(1+$B5)^2</f>
        <v/>
      </c>
      <c r="E9" s="10">
        <f>1/(1+$B5)^3</f>
        <v/>
      </c>
      <c r="F9" s="10">
        <f>1/(1+$B5)^4</f>
        <v/>
      </c>
      <c r="G9" s="10">
        <f>1/(1+$B5)^5</f>
        <v/>
      </c>
    </row>
    <row r="10">
      <c r="A10" s="5" t="inlineStr">
        <is>
          <t>할인현금흐름</t>
        </is>
      </c>
      <c r="B10" s="11">
        <f>B8*B9</f>
        <v/>
      </c>
      <c r="C10" s="11">
        <f>C8*C9</f>
        <v/>
      </c>
      <c r="D10" s="11">
        <f>D8*D9</f>
        <v/>
      </c>
      <c r="E10" s="11">
        <f>E8*E9</f>
        <v/>
      </c>
      <c r="F10" s="11">
        <f>F8*F9</f>
        <v/>
      </c>
      <c r="G10" s="11">
        <f>G8*G9</f>
        <v/>
      </c>
    </row>
    <row r="11">
      <c r="A11" s="5" t="inlineStr">
        <is>
          <t>누적 할인 CF</t>
        </is>
      </c>
      <c r="B11" s="11">
        <f>B10</f>
        <v/>
      </c>
      <c r="C11" s="11">
        <f>B11+C10</f>
        <v/>
      </c>
      <c r="D11" s="11">
        <f>C11+D10</f>
        <v/>
      </c>
      <c r="E11" s="11">
        <f>D11+E10</f>
        <v/>
      </c>
      <c r="F11" s="11">
        <f>E11+F10</f>
        <v/>
      </c>
      <c r="G11" s="11">
        <f>F11+G10</f>
        <v/>
      </c>
    </row>
    <row r="12"/>
    <row r="13">
      <c r="A13" s="3" t="inlineStr">
        <is>
          <t>요약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5" t="inlineStr">
        <is>
          <t>NPV</t>
        </is>
      </c>
      <c r="B14" s="12">
        <f>B8+NPV($B5,C8:G8)</f>
        <v/>
      </c>
    </row>
    <row r="15">
      <c r="A15" s="5" t="inlineStr">
        <is>
          <t>IRR</t>
        </is>
      </c>
      <c r="B15" s="13">
        <f>IFERROR(IRR(B8:G8),"n/a")</f>
        <v/>
      </c>
    </row>
    <row r="16">
      <c r="A16" s="5" t="inlineStr">
        <is>
          <t>할인 회수기간 (기간)</t>
        </is>
      </c>
      <c r="B16" s="14" t="n">
        <v>3.45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