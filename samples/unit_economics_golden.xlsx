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0.0%;(0.0%)"/>
    <numFmt numFmtId="166" formatCode="#,##0.0;(#,##0.0)"/>
    <numFmt numFmtId="167" formatCode="0.0&quot;x&quot;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2E5A87"/>
      <sz val="11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유닛 이코노믹스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입력 (단위: ₩'000)</t>
        </is>
      </c>
      <c r="B4" s="4" t="n"/>
    </row>
    <row r="5">
      <c r="A5" s="5" t="inlineStr">
        <is>
          <t>ARPU(월)</t>
        </is>
      </c>
      <c r="B5" s="6" t="n">
        <v>50</v>
      </c>
    </row>
    <row r="6">
      <c r="A6" s="5" t="inlineStr">
        <is>
          <t>매출총이익률</t>
        </is>
      </c>
      <c r="B6" s="7" t="n">
        <v>0.8</v>
      </c>
    </row>
    <row r="7">
      <c r="A7" s="5" t="inlineStr">
        <is>
          <t>월 이탈률</t>
        </is>
      </c>
      <c r="B7" s="7" t="n">
        <v>0.03</v>
      </c>
    </row>
    <row r="8">
      <c r="A8" s="5" t="inlineStr">
        <is>
          <t>CAC</t>
        </is>
      </c>
      <c r="B8" s="6" t="n">
        <v>300</v>
      </c>
    </row>
    <row r="9"/>
    <row r="10">
      <c r="A10" s="3" t="inlineStr">
        <is>
          <t>산출</t>
        </is>
      </c>
      <c r="B10" s="4" t="n"/>
    </row>
    <row r="11">
      <c r="A11" s="5" t="inlineStr">
        <is>
          <t>고객수명(월)</t>
        </is>
      </c>
      <c r="B11" s="8">
        <f>IF(B7=0,"",1/B7)</f>
        <v/>
      </c>
    </row>
    <row r="12">
      <c r="A12" s="5" t="inlineStr">
        <is>
          <t>LTV</t>
        </is>
      </c>
      <c r="B12" s="9">
        <f>IF(B11="","",B5*B6*B11)</f>
        <v/>
      </c>
    </row>
    <row r="13">
      <c r="A13" s="5" t="inlineStr">
        <is>
          <t>LTV/CAC</t>
        </is>
      </c>
      <c r="B13" s="10">
        <f>IF(OR(B8=0,B12=""),"",B12/B8)</f>
        <v/>
      </c>
    </row>
    <row r="14">
      <c r="A14" s="5" t="inlineStr">
        <is>
          <t>CAC 회수(월)</t>
        </is>
      </c>
      <c r="B14" s="8">
        <f>IF(B5*B6=0,"",B8/(B5*B6))</f>
        <v/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