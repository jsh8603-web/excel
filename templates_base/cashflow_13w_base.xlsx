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13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주간 잔액(유동성)</a:t>
            </a:r>
          </a:p>
        </rich>
      </tx>
    </title>
    <plotArea>
      <lineChart>
        <grouping val="standard"/>
        <ser>
          <idx val="0"/>
          <order val="0"/>
          <tx>
            <strRef>
              <f>'Cash13W'!B7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'Cash13W'!$B$8</f>
            </numRef>
          </val>
          <smooth val="0"/>
        </ser>
        <ser>
          <idx val="1"/>
          <order val="1"/>
          <tx>
            <strRef>
              <f>'Cash13W'!C7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'Cash13W'!$C$8</f>
            </numRef>
          </val>
          <smooth val="0"/>
        </ser>
        <ser>
          <idx val="2"/>
          <order val="2"/>
          <tx>
            <strRef>
              <f>'Cash13W'!D7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'Cash13W'!$D$8</f>
            </numRef>
          </val>
          <smooth val="0"/>
        </ser>
        <ser>
          <idx val="3"/>
          <order val="3"/>
          <tx>
            <strRef>
              <f>'Cash13W'!E7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'Cash13W'!$E$8</f>
            </numRef>
          </val>
          <smooth val="0"/>
        </ser>
        <ser>
          <idx val="4"/>
          <order val="4"/>
          <tx>
            <strRef>
              <f>'Cash13W'!F7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'Cash13W'!$F$8</f>
            </numRef>
          </val>
          <smooth val="0"/>
        </ser>
        <ser>
          <idx val="5"/>
          <order val="5"/>
          <tx>
            <strRef>
              <f>'Cash13W'!G7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'Cash13W'!$G$8</f>
            </numRef>
          </val>
          <smooth val="0"/>
        </ser>
        <ser>
          <idx val="6"/>
          <order val="6"/>
          <tx>
            <strRef>
              <f>'Cash13W'!H7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'Cash13W'!$H$8</f>
            </numRef>
          </val>
          <smooth val="0"/>
        </ser>
        <ser>
          <idx val="7"/>
          <order val="7"/>
          <tx>
            <strRef>
              <f>'Cash13W'!I7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'Cash13W'!$I$8</f>
            </numRef>
          </val>
          <smooth val="0"/>
        </ser>
        <ser>
          <idx val="8"/>
          <order val="8"/>
          <tx>
            <strRef>
              <f>'Cash13W'!J7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'Cash13W'!$J$8</f>
            </numRef>
          </val>
          <smooth val="0"/>
        </ser>
        <ser>
          <idx val="9"/>
          <order val="9"/>
          <tx>
            <strRef>
              <f>'Cash13W'!K7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'Cash13W'!$K$8</f>
            </numRef>
          </val>
          <smooth val="0"/>
        </ser>
        <ser>
          <idx val="10"/>
          <order val="10"/>
          <tx>
            <strRef>
              <f>'Cash13W'!L7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'Cash13W'!$L$8</f>
            </numRef>
          </val>
          <smooth val="0"/>
        </ser>
        <ser>
          <idx val="11"/>
          <order val="11"/>
          <tx>
            <strRef>
              <f>'Cash13W'!M7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'Cash13W'!$M$8</f>
            </numRef>
          </val>
          <smooth val="0"/>
        </ser>
        <ser>
          <idx val="12"/>
          <order val="12"/>
          <tx>
            <strRef>
              <f>'Cash13W'!N7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'Cash13W'!$N$8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13주 현금흐름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항목 (단위: ₩mn)</t>
        </is>
      </c>
      <c r="B4" s="4" t="inlineStr">
        <is>
          <t>W1</t>
        </is>
      </c>
      <c r="C4" s="4" t="inlineStr">
        <is>
          <t>W2</t>
        </is>
      </c>
      <c r="D4" s="4" t="inlineStr">
        <is>
          <t>W3</t>
        </is>
      </c>
      <c r="E4" s="4" t="inlineStr">
        <is>
          <t>W4</t>
        </is>
      </c>
      <c r="F4" s="4" t="inlineStr">
        <is>
          <t>W5</t>
        </is>
      </c>
      <c r="G4" s="4" t="inlineStr">
        <is>
          <t>W6</t>
        </is>
      </c>
      <c r="H4" s="4" t="inlineStr">
        <is>
          <t>W7</t>
        </is>
      </c>
      <c r="I4" s="4" t="inlineStr">
        <is>
          <t>W8</t>
        </is>
      </c>
      <c r="J4" s="4" t="inlineStr">
        <is>
          <t>W9</t>
        </is>
      </c>
      <c r="K4" s="4" t="inlineStr">
        <is>
          <t>W10</t>
        </is>
      </c>
      <c r="L4" s="4" t="inlineStr">
        <is>
          <t>W11</t>
        </is>
      </c>
      <c r="M4" s="4" t="inlineStr">
        <is>
          <t>W12</t>
        </is>
      </c>
      <c r="N4" s="4" t="inlineStr">
        <is>
          <t>W13</t>
        </is>
      </c>
    </row>
    <row r="5">
      <c r="A5" s="5" t="inlineStr">
        <is>
          <t>유입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5" t="inlineStr">
        <is>
          <t>유출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5" t="inlineStr">
        <is>
          <t>순현금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7">
        <f>F5-F6</f>
        <v/>
      </c>
      <c r="G7" s="7">
        <f>G5-G6</f>
        <v/>
      </c>
      <c r="H7" s="7">
        <f>H5-H6</f>
        <v/>
      </c>
      <c r="I7" s="7">
        <f>I5-I6</f>
        <v/>
      </c>
      <c r="J7" s="7">
        <f>J5-J6</f>
        <v/>
      </c>
      <c r="K7" s="7">
        <f>K5-K6</f>
        <v/>
      </c>
      <c r="L7" s="7">
        <f>L5-L6</f>
        <v/>
      </c>
      <c r="M7" s="7">
        <f>M5-M6</f>
        <v/>
      </c>
      <c r="N7" s="7">
        <f>N5-N6</f>
        <v/>
      </c>
    </row>
    <row r="8">
      <c r="A8" s="8" t="inlineStr">
        <is>
          <t>기말 잔액</t>
        </is>
      </c>
      <c r="B8" s="9">
        <f>500+B7</f>
        <v/>
      </c>
      <c r="C8" s="9">
        <f>B8+C7</f>
        <v/>
      </c>
      <c r="D8" s="9">
        <f>C8+D7</f>
        <v/>
      </c>
      <c r="E8" s="9">
        <f>D8+E7</f>
        <v/>
      </c>
      <c r="F8" s="9">
        <f>E8+F7</f>
        <v/>
      </c>
      <c r="G8" s="9">
        <f>F8+G7</f>
        <v/>
      </c>
      <c r="H8" s="9">
        <f>G8+H7</f>
        <v/>
      </c>
      <c r="I8" s="9">
        <f>H8+I7</f>
        <v/>
      </c>
      <c r="J8" s="9">
        <f>I8+J7</f>
        <v/>
      </c>
      <c r="K8" s="9">
        <f>J8+K7</f>
        <v/>
      </c>
      <c r="L8" s="9">
        <f>K8+L7</f>
        <v/>
      </c>
      <c r="M8" s="9">
        <f>L8+M7</f>
        <v/>
      </c>
      <c r="N8" s="9">
        <f>M8+N7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