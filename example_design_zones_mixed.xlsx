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&amp;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(#,##0)"/>
    <numFmt numFmtId="165" formatCode="0.0%;(0.0%)"/>
  </numFmts>
  <fonts count="6">
    <font>
      <name val="Calibri"/>
      <family val="2"/>
      <color theme="1"/>
      <sz val="11"/>
      <scheme val="minor"/>
    </font>
    <font>
      <name val="맑은 고딕"/>
      <color rgb="00111418"/>
      <sz val="11"/>
    </font>
    <font>
      <name val="맑은 고딕"/>
      <color rgb="005B616B"/>
      <sz val="9"/>
    </font>
    <font>
      <name val="맑은 고딕"/>
      <b val="1"/>
      <color rgb="00111418"/>
      <sz val="9"/>
    </font>
    <font>
      <name val="맑은 고딕"/>
      <color rgb="00111418"/>
      <sz val="10"/>
    </font>
    <font>
      <name val="맑은 고딕"/>
      <b val="1"/>
      <color rgb="00111418"/>
      <sz val="10"/>
    </font>
  </fonts>
  <fills count="3">
    <fill>
      <patternFill/>
    </fill>
    <fill>
      <patternFill patternType="gray125"/>
    </fill>
    <fill>
      <patternFill patternType="solid">
        <fgColor rgb="00EEF2F3"/>
      </patternFill>
    </fill>
  </fills>
  <borders count="3">
    <border>
      <left/>
      <right/>
      <top/>
      <bottom/>
      <diagonal/>
    </border>
    <border>
      <bottom style="medium">
        <color rgb="0012404A"/>
      </bottom>
    </border>
    <border>
      <top style="thin">
        <color rgb="00D8DCE0"/>
      </top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center"/>
    </xf>
    <xf numFmtId="164" fontId="4" fillId="0" borderId="0" applyAlignment="1" pivotButton="0" quotePrefix="0" xfId="0">
      <alignment horizontal="right" vertical="center"/>
    </xf>
    <xf numFmtId="165" fontId="4" fillId="0" borderId="0" applyAlignment="1" pivotButton="0" quotePrefix="0" xfId="0">
      <alignment horizontal="right" vertical="center"/>
    </xf>
    <xf numFmtId="0" fontId="5" fillId="0" borderId="2" applyAlignment="1" pivotButton="0" quotePrefix="0" xfId="0">
      <alignment horizontal="right" vertical="center"/>
    </xf>
    <xf numFmtId="164" fontId="5" fillId="0" borderId="2" applyAlignment="1" pivotButton="0" quotePrefix="0" xfId="0">
      <alignment horizontal="right" vertical="center"/>
    </xf>
    <xf numFmtId="165" fontId="5" fillId="0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18"/>
  <sheetViews>
    <sheetView showGridLines="0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hidden="1" width="13" customWidth="1" min="1" max="1"/>
    <col width="16" customWidth="1" min="2" max="2"/>
    <col width="9" customWidth="1" min="3" max="3"/>
    <col width="9" customWidth="1" min="4" max="4"/>
    <col width="9" customWidth="1" min="5" max="5"/>
    <col width="9" customWidth="1" min="6" max="6"/>
    <col width="11" customWidth="1" min="7" max="7"/>
    <col width="11" customWidth="1" min="8" max="8"/>
    <col width="9" customWidth="1" min="9" max="9"/>
  </cols>
  <sheetData>
    <row r="1">
      <c r="B1" s="1" t="inlineStr">
        <is>
          <t>FY2026 손익계산서 — 실적·전망 (design-zones 예시)</t>
        </is>
      </c>
    </row>
    <row r="2">
      <c r="B2" s="2" t="inlineStr">
        <is>
          <t>단위: 백만원 / 실적 Q1~Q4·누계, 전망 FY, 달성률</t>
        </is>
      </c>
    </row>
    <row r="3"/>
    <row r="4" hidden="1">
      <c r="A4" t="inlineStr">
        <is>
          <t>​__zone__</t>
        </is>
      </c>
      <c r="B4" t="inlineStr">
        <is>
          <t>label</t>
        </is>
      </c>
      <c r="C4" t="inlineStr">
        <is>
          <t>actual</t>
        </is>
      </c>
      <c r="H4" t="inlineStr">
        <is>
          <t>fcst</t>
        </is>
      </c>
      <c r="I4" t="inlineStr">
        <is>
          <t>ratio</t>
        </is>
      </c>
    </row>
    <row r="5">
      <c r="A5" t="inlineStr">
        <is>
          <t>hdr</t>
        </is>
      </c>
      <c r="B5" s="3" t="inlineStr">
        <is>
          <t>항목</t>
        </is>
      </c>
      <c r="C5" s="3" t="inlineStr">
        <is>
          <t>Q1</t>
        </is>
      </c>
      <c r="D5" s="3" t="inlineStr">
        <is>
          <t>Q2</t>
        </is>
      </c>
      <c r="E5" s="3" t="inlineStr">
        <is>
          <t>Q3</t>
        </is>
      </c>
      <c r="F5" s="3" t="inlineStr">
        <is>
          <t>Q4</t>
        </is>
      </c>
      <c r="G5" s="3" t="inlineStr">
        <is>
          <t>누계</t>
        </is>
      </c>
      <c r="H5" s="3" t="inlineStr">
        <is>
          <t>전망FY</t>
        </is>
      </c>
      <c r="I5" s="3" t="inlineStr">
        <is>
          <t>달성%</t>
        </is>
      </c>
    </row>
    <row r="6">
      <c r="A6" t="inlineStr">
        <is>
          <t>data</t>
        </is>
      </c>
      <c r="B6" s="4" t="inlineStr">
        <is>
          <t>매출액</t>
        </is>
      </c>
      <c r="C6" s="5" t="n">
        <v>3200</v>
      </c>
      <c r="D6" s="5" t="n">
        <v>3450</v>
      </c>
      <c r="E6" s="5" t="n">
        <v>3600</v>
      </c>
      <c r="F6" s="5" t="n">
        <v>3850</v>
      </c>
      <c r="G6" s="5">
        <f>SUM(C6:F6)</f>
        <v/>
      </c>
      <c r="H6" s="5" t="n">
        <v>14500</v>
      </c>
      <c r="I6" s="6">
        <f>IF(H6=0,"NA",G6/H6)</f>
        <v/>
      </c>
    </row>
    <row r="7">
      <c r="B7" s="4" t="inlineStr">
        <is>
          <t>매출원가</t>
        </is>
      </c>
      <c r="C7" s="5" t="n">
        <v>-1900</v>
      </c>
      <c r="D7" s="5" t="n">
        <v>-2050</v>
      </c>
      <c r="E7" s="5" t="n">
        <v>-2150</v>
      </c>
      <c r="F7" s="5" t="n">
        <v>-2300</v>
      </c>
      <c r="G7" s="5">
        <f>SUM(C7:F7)</f>
        <v/>
      </c>
      <c r="H7" s="5" t="n">
        <v>-8600</v>
      </c>
      <c r="I7" s="6">
        <f>IF(H7=0,"NA",G7/H7)</f>
        <v/>
      </c>
    </row>
    <row r="8">
      <c r="A8" t="inlineStr">
        <is>
          <t>total</t>
        </is>
      </c>
      <c r="B8" s="7" t="inlineStr">
        <is>
          <t>매출총이익</t>
        </is>
      </c>
      <c r="C8" s="8">
        <f>C6+C7</f>
        <v/>
      </c>
      <c r="D8" s="8">
        <f>D6+D7</f>
        <v/>
      </c>
      <c r="E8" s="8">
        <f>E6+E7</f>
        <v/>
      </c>
      <c r="F8" s="8">
        <f>F6+F7</f>
        <v/>
      </c>
      <c r="G8" s="8">
        <f>SUM(C8:F8)</f>
        <v/>
      </c>
      <c r="H8" s="8">
        <f>H6+H7</f>
        <v/>
      </c>
      <c r="I8" s="9">
        <f>IF(H8=0,"NA",G8/H8)</f>
        <v/>
      </c>
    </row>
    <row r="9">
      <c r="A9" t="inlineStr">
        <is>
          <t>data</t>
        </is>
      </c>
      <c r="B9" s="4" t="inlineStr">
        <is>
          <t>판매비</t>
        </is>
      </c>
      <c r="C9" s="5" t="n">
        <v>-420</v>
      </c>
      <c r="D9" s="5" t="n">
        <v>-440</v>
      </c>
      <c r="E9" s="5" t="n">
        <v>-460</v>
      </c>
      <c r="F9" s="5" t="n">
        <v>-480</v>
      </c>
      <c r="G9" s="5">
        <f>SUM(C9:F9)</f>
        <v/>
      </c>
      <c r="H9" s="5" t="n">
        <v>-1850</v>
      </c>
      <c r="I9" s="6">
        <f>IF(H9=0,"NA",G9/H9)</f>
        <v/>
      </c>
    </row>
    <row r="10">
      <c r="B10" s="4" t="inlineStr">
        <is>
          <t>관리비</t>
        </is>
      </c>
      <c r="C10" s="5" t="n">
        <v>-300</v>
      </c>
      <c r="D10" s="5" t="n">
        <v>-310</v>
      </c>
      <c r="E10" s="5" t="n">
        <v>-320</v>
      </c>
      <c r="F10" s="5" t="n">
        <v>-330</v>
      </c>
      <c r="G10" s="5">
        <f>SUM(C10:F10)</f>
        <v/>
      </c>
      <c r="H10" s="5" t="n">
        <v>-1300</v>
      </c>
      <c r="I10" s="6">
        <f>IF(H10=0,"NA",G10/H10)</f>
        <v/>
      </c>
    </row>
    <row r="11">
      <c r="B11" s="4" t="inlineStr">
        <is>
          <t>연구개발비</t>
        </is>
      </c>
      <c r="C11" s="5" t="n">
        <v>-180</v>
      </c>
      <c r="D11" s="5" t="n">
        <v>-190</v>
      </c>
      <c r="E11" s="5" t="n">
        <v>-200</v>
      </c>
      <c r="F11" s="5" t="n">
        <v>-210</v>
      </c>
      <c r="G11" s="5">
        <f>SUM(C11:F11)</f>
        <v/>
      </c>
      <c r="H11" s="5" t="n">
        <v>-820</v>
      </c>
      <c r="I11" s="6">
        <f>IF(H11=0,"NA",G11/H11)</f>
        <v/>
      </c>
    </row>
    <row r="12">
      <c r="A12" t="inlineStr">
        <is>
          <t>total</t>
        </is>
      </c>
      <c r="B12" s="7" t="inlineStr">
        <is>
          <t>영업이익</t>
        </is>
      </c>
      <c r="C12" s="8">
        <f>C8+C9+C10+C11</f>
        <v/>
      </c>
      <c r="D12" s="8">
        <f>D8+D9+D10+D11</f>
        <v/>
      </c>
      <c r="E12" s="8">
        <f>E8+E9+E10+E11</f>
        <v/>
      </c>
      <c r="F12" s="8">
        <f>F8+F9+F10+F11</f>
        <v/>
      </c>
      <c r="G12" s="8">
        <f>SUM(C12:F12)</f>
        <v/>
      </c>
      <c r="H12" s="8">
        <f>H8+H9+H10+H11</f>
        <v/>
      </c>
      <c r="I12" s="9">
        <f>IF(H12=0,"NA",G12/H12)</f>
        <v/>
      </c>
    </row>
    <row r="13">
      <c r="A13" t="inlineStr">
        <is>
          <t>data</t>
        </is>
      </c>
      <c r="B13" s="4" t="inlineStr">
        <is>
          <t>금융손익</t>
        </is>
      </c>
      <c r="C13" s="5" t="n">
        <v>-30</v>
      </c>
      <c r="D13" s="5" t="n">
        <v>-28</v>
      </c>
      <c r="E13" s="5" t="n">
        <v>-32</v>
      </c>
      <c r="F13" s="5" t="n">
        <v>-35</v>
      </c>
      <c r="G13" s="5">
        <f>SUM(C13:F13)</f>
        <v/>
      </c>
      <c r="H13" s="5" t="n">
        <v>-130</v>
      </c>
      <c r="I13" s="6">
        <f>IF(H13=0,"NA",G13/H13)</f>
        <v/>
      </c>
    </row>
    <row r="14">
      <c r="B14" s="4" t="inlineStr">
        <is>
          <t>법인세비용</t>
        </is>
      </c>
      <c r="C14" s="5" t="n">
        <v>-60</v>
      </c>
      <c r="D14" s="5" t="n">
        <v>-70</v>
      </c>
      <c r="E14" s="5" t="n">
        <v>-72</v>
      </c>
      <c r="F14" s="5" t="n">
        <v>-80</v>
      </c>
      <c r="G14" s="5">
        <f>SUM(C14:F14)</f>
        <v/>
      </c>
      <c r="H14" s="5" t="n">
        <v>-300</v>
      </c>
      <c r="I14" s="6">
        <f>IF(H14=0,"NA",G14/H14)</f>
        <v/>
      </c>
    </row>
    <row r="15">
      <c r="A15" t="inlineStr">
        <is>
          <t>total</t>
        </is>
      </c>
      <c r="B15" s="7" t="inlineStr">
        <is>
          <t>당기순이익</t>
        </is>
      </c>
      <c r="C15" s="8">
        <f>C12+C13+C14</f>
        <v/>
      </c>
      <c r="D15" s="8">
        <f>D12+D13+D14</f>
        <v/>
      </c>
      <c r="E15" s="8">
        <f>E12+E13+E14</f>
        <v/>
      </c>
      <c r="F15" s="8">
        <f>F12+F13+F14</f>
        <v/>
      </c>
      <c r="G15" s="8">
        <f>SUM(C15:F15)</f>
        <v/>
      </c>
      <c r="H15" s="8">
        <f>H12+H13+H14</f>
        <v/>
      </c>
      <c r="I15" s="9">
        <f>IF(H15=0,"NA",G15/H15)</f>
        <v/>
      </c>
    </row>
    <row r="18">
      <c r="B18" s="2" t="inlineStr">
        <is>
          <t>주) 전망FY는 잠정. 달성%=누계/전망FY.</t>
        </is>
      </c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2026-06-24T03:30:34Z</dcterms:created>
  <dcterms:modified xmlns:dcterms="http://purl.org/dc/terms/" xmlns:xsi="http://www.w3.org/2001/XMLSchema-instance" xsi:type="dcterms:W3CDTF">2026-06-24T03:30:34Z</dcterms:modified>
</cp:coreProperties>
</file>